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25" windowWidth="15900" windowHeight="12210"/>
  </bookViews>
  <sheets>
    <sheet name="BMI Chart" sheetId="5" r:id="rId1"/>
  </sheets>
  <functionGroups builtInGroupCount="17"/>
  <definedNames>
    <definedName name="CurrentRecord" localSheetId="0">'BMI Chart'!$F$4</definedName>
    <definedName name="dbDataValidationList" localSheetId="0">'BMI Chart'!$B$30</definedName>
    <definedName name="dbManySide1" localSheetId="0">'BMI Chart'!$B$35</definedName>
    <definedName name="dbManySide2" localSheetId="0">'BMI Chart'!$B$36</definedName>
    <definedName name="dbManySide3" localSheetId="0">'BMI Chart'!$B$37</definedName>
    <definedName name="dbManySide4" localSheetId="0">'BMI Chart'!$B$38</definedName>
    <definedName name="dbManySideColumnsCount" localSheetId="0">'BMI Chart'!$B$40</definedName>
    <definedName name="dbManySideFirstColumn" localSheetId="0">'BMI Chart'!$B$43</definedName>
    <definedName name="dbManySidePrefix" localSheetId="0">'BMI Chart'!$B$39</definedName>
    <definedName name="dbManySideRowsCount" localSheetId="0">'BMI Chart'!$B$41</definedName>
    <definedName name="dbOneSide" localSheetId="0">'BMI Chart'!$B$33</definedName>
    <definedName name="dbOneSideColumsCount" localSheetId="0">'BMI Chart'!$B$34</definedName>
    <definedName name="dbRangeOffset" localSheetId="0">'BMI Chart'!$B$44</definedName>
    <definedName name="dbRecordName" localSheetId="0">'BMI Chart'!$B$32</definedName>
    <definedName name="dbRecordsFirstRow" localSheetId="0">'BMI Chart'!$B$42</definedName>
    <definedName name="dbSavedRecords" localSheetId="0">'BMI Chart'!$B$31</definedName>
    <definedName name="HeightFt" localSheetId="0">'BMI Chart'!$C$4</definedName>
    <definedName name="HeightIn" localSheetId="0">'BMI Chart'!$D$4</definedName>
    <definedName name="ManySideRecords" localSheetId="0">'BMI Chart'!$E$7:$F$26</definedName>
    <definedName name="OneSideRecord" localSheetId="0">'BMI Chart'!$C$2,'BMI Chart'!$C$4,'BMI Chart'!$D$4</definedName>
    <definedName name="PatientName" localSheetId="0">'BMI Chart'!$C$2:$G$2</definedName>
    <definedName name="_xlnm.Print_Area" localSheetId="0">'BMI Chart'!$B$1:$W$28</definedName>
    <definedName name="rec_Flavio_Morgado" localSheetId="0" hidden="1">'BMI Chart'!$O$51</definedName>
    <definedName name="rec_Flavio_Morgado2" localSheetId="0" hidden="1">'BMI Chart'!$O$72</definedName>
    <definedName name="rec_Flavio_Morgado3" localSheetId="0" hidden="1">'BMI Chart'!$O$93</definedName>
    <definedName name="rec_New_Chart_01_05_2015" localSheetId="0" hidden="1">'BMI Chart'!$O$30</definedName>
    <definedName name="SavedRecords" localSheetId="0">'BMI Chart'!$D$30:$D$34</definedName>
  </definedNames>
  <calcPr calcId="144525"/>
</workbook>
</file>

<file path=xl/calcChain.xml><?xml version="1.0" encoding="utf-8"?>
<calcChain xmlns="http://schemas.openxmlformats.org/spreadsheetml/2006/main">
  <c r="C26" i="5" l="1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R4" i="5"/>
  <c r="I4" i="5"/>
  <c r="E4" i="5"/>
  <c r="G26" i="5" s="1"/>
  <c r="G7" i="5" l="1"/>
  <c r="C5" i="5"/>
  <c r="G9" i="5"/>
  <c r="B11" i="5"/>
  <c r="G13" i="5"/>
  <c r="B15" i="5"/>
  <c r="G17" i="5"/>
  <c r="B19" i="5"/>
  <c r="G21" i="5"/>
  <c r="B23" i="5"/>
  <c r="G25" i="5"/>
  <c r="B7" i="5"/>
  <c r="B10" i="5"/>
  <c r="G12" i="5"/>
  <c r="B14" i="5"/>
  <c r="G16" i="5"/>
  <c r="B18" i="5"/>
  <c r="G20" i="5"/>
  <c r="B22" i="5"/>
  <c r="G24" i="5"/>
  <c r="B26" i="5"/>
  <c r="G8" i="5"/>
  <c r="B9" i="5"/>
  <c r="G11" i="5"/>
  <c r="B13" i="5"/>
  <c r="G15" i="5"/>
  <c r="G19" i="5"/>
  <c r="B21" i="5"/>
  <c r="G23" i="5"/>
  <c r="B25" i="5"/>
  <c r="B17" i="5"/>
  <c r="B8" i="5"/>
  <c r="G10" i="5"/>
  <c r="B12" i="5"/>
  <c r="G14" i="5"/>
  <c r="B16" i="5"/>
  <c r="G18" i="5"/>
  <c r="B20" i="5"/>
  <c r="G22" i="5"/>
  <c r="B24" i="5"/>
</calcChain>
</file>

<file path=xl/comments1.xml><?xml version="1.0" encoding="utf-8"?>
<comments xmlns="http://schemas.openxmlformats.org/spreadsheetml/2006/main">
  <authors>
    <author>Flavio Morgado</author>
  </authors>
  <commentList>
    <comment ref="F9" authorId="0">
      <text>
        <r>
          <rPr>
            <b/>
            <sz val="9"/>
            <color indexed="81"/>
            <rFont val="Tahoma"/>
            <family val="2"/>
          </rPr>
          <t>Flavio Morgado: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<sst xmlns="http://schemas.openxmlformats.org/spreadsheetml/2006/main" count="44" uniqueCount="39">
  <si>
    <t>BMI (Body Mass Index) Companion Chart</t>
  </si>
  <si>
    <t xml:space="preserve">Name: </t>
  </si>
  <si>
    <t xml:space="preserve">Height: </t>
  </si>
  <si>
    <t>New Chart</t>
  </si>
  <si>
    <t>Slack</t>
  </si>
  <si>
    <t>% CH.</t>
  </si>
  <si>
    <t>Date</t>
  </si>
  <si>
    <t>Weight</t>
  </si>
  <si>
    <t>BMI</t>
  </si>
  <si>
    <t>Normal</t>
  </si>
  <si>
    <t>Overweight</t>
  </si>
  <si>
    <t>Obese</t>
  </si>
  <si>
    <t>-</t>
  </si>
  <si>
    <t>Flavio Morgado</t>
  </si>
  <si>
    <t>New Chart 01_05_2015</t>
  </si>
  <si>
    <t>Flavio Morgado2</t>
  </si>
  <si>
    <t>Flavio Morgado3</t>
  </si>
  <si>
    <t>dbDataValidationList</t>
  </si>
  <si>
    <t>CurrentRecord</t>
  </si>
  <si>
    <t>dbSavedRecords</t>
  </si>
  <si>
    <t>SavedRecords</t>
  </si>
  <si>
    <t>dbRecordName</t>
  </si>
  <si>
    <t>Chart</t>
  </si>
  <si>
    <t>dbOneSide</t>
  </si>
  <si>
    <t>OneSideRecord</t>
  </si>
  <si>
    <t>dbOneSideColumsCount</t>
  </si>
  <si>
    <t xml:space="preserve">ManySideRecords </t>
  </si>
  <si>
    <t>dbManySidePrefix</t>
  </si>
  <si>
    <t>rec_</t>
  </si>
  <si>
    <t>dbManySideColumnsCount</t>
  </si>
  <si>
    <t>dbManySideRowsCount</t>
  </si>
  <si>
    <t>dbRecordsFirstRow</t>
  </si>
  <si>
    <t>dbManySideFirstColumn</t>
  </si>
  <si>
    <t>$O$</t>
  </si>
  <si>
    <t>dbRangeOffset</t>
  </si>
  <si>
    <t>dbManySide1</t>
  </si>
  <si>
    <t>dbManySide2</t>
  </si>
  <si>
    <t>dbManySide3</t>
  </si>
  <si>
    <t>dbManySide4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</si>
</sst>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&quot;$&quot;* #,##0.00_);_(&quot;$&quot;* \(#,##0.00\);_(&quot;$&quot;* &quot;-&quot;??_);_(@_)"/>
    <numFmt numFmtId="165" formatCode="0\'"/>
    <numFmt numFmtId="166" formatCode="0\'\'"/>
    <numFmt numFmtId="167" formatCode="0.00&quot; m&quot;"/>
    <numFmt numFmtId="168" formatCode="&quot;From &quot;\ mmmm\ d\,\ yyyy\ &quot; to &quot;"/>
    <numFmt numFmtId="169" formatCode="[$-409]mmmm\ d\,\ yyyy;@"/>
    <numFmt numFmtId="170" formatCode="[Red]\+0&quot; lb&quot;;\-0&quot; lb&quot;"/>
    <numFmt numFmtId="171" formatCode="0&quot; lb&quot;"/>
    <numFmt numFmtId="172" formatCode="#.#"/>
    <numFmt numFmtId="173" formatCode="[Red]\+0%;[Blue]\-0%"/>
    <numFmt numFmtId="174" formatCode="mm/dd/yyyy;;#"/>
    <numFmt numFmtId="175" formatCode="&quot;From &quot;[$-409]\ mmmm\ d\,\ yyyy\ &quot; to &quot;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Calibri"/>
      <family val="2"/>
      <scheme val="minor"/>
    </font>
    <font>
      <sz val="10"/>
      <color rgb="FF00B05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3" tint="0.59996337778862885"/>
      </left>
      <right/>
      <top style="thin">
        <color theme="3" tint="0.59996337778862885"/>
      </top>
      <bottom style="thin">
        <color theme="3" tint="0.59996337778862885"/>
      </bottom>
      <diagonal/>
    </border>
    <border>
      <left/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39991454817346722"/>
      </left>
      <right/>
      <top style="thin">
        <color theme="3" tint="0.39991454817346722"/>
      </top>
      <bottom style="thin">
        <color theme="3" tint="0.39991454817346722"/>
      </bottom>
      <diagonal/>
    </border>
    <border>
      <left/>
      <right style="thin">
        <color theme="3" tint="0.39991454817346722"/>
      </right>
      <top style="thin">
        <color theme="3" tint="0.39991454817346722"/>
      </top>
      <bottom style="thin">
        <color theme="3" tint="0.39991454817346722"/>
      </bottom>
      <diagonal/>
    </border>
    <border>
      <left style="thin">
        <color theme="3" tint="0.39991454817346722"/>
      </left>
      <right style="thin">
        <color theme="3" tint="0.39991454817346722"/>
      </right>
      <top style="thin">
        <color theme="3" tint="0.39991454817346722"/>
      </top>
      <bottom style="thin">
        <color theme="3" tint="0.39991454817346722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39988402966399123"/>
      </left>
      <right/>
      <top style="thin">
        <color theme="3" tint="0.39988402966399123"/>
      </top>
      <bottom style="thin">
        <color theme="3" tint="0.39988402966399123"/>
      </bottom>
      <diagonal/>
    </border>
    <border>
      <left/>
      <right/>
      <top style="thin">
        <color theme="3" tint="0.39988402966399123"/>
      </top>
      <bottom style="thin">
        <color theme="3" tint="0.39988402966399123"/>
      </bottom>
      <diagonal/>
    </border>
    <border>
      <left/>
      <right style="thin">
        <color theme="3" tint="0.39988402966399123"/>
      </right>
      <top style="thin">
        <color theme="3" tint="0.39988402966399123"/>
      </top>
      <bottom style="thin">
        <color theme="3" tint="0.39988402966399123"/>
      </bottom>
      <diagonal/>
    </border>
    <border>
      <left style="thin">
        <color theme="3" tint="0.39991454817346722"/>
      </left>
      <right style="thin">
        <color theme="3" tint="0.39991454817346722"/>
      </right>
      <top style="thin">
        <color theme="3" tint="0.39991454817346722"/>
      </top>
      <bottom style="thin">
        <color theme="3" tint="0.39988402966399123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</cellStyleXfs>
  <cellXfs count="40">
    <xf numFmtId="0" fontId="0" fillId="0" borderId="0" xfId="0"/>
    <xf numFmtId="0" fontId="0" fillId="0" borderId="0" xfId="0" applyFont="1" applyAlignment="1">
      <alignment horizontal="left" vertical="top"/>
    </xf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applyProtection="1">
      <protection hidden="1"/>
    </xf>
    <xf numFmtId="167" fontId="0" fillId="0" borderId="0" xfId="0" applyNumberFormat="1" applyAlignment="1" applyProtection="1">
      <alignment horizontal="left" indent="1"/>
      <protection hidden="1"/>
    </xf>
    <xf numFmtId="168" fontId="0" fillId="0" borderId="0" xfId="0" applyNumberFormat="1" applyAlignment="1">
      <alignment vertical="top"/>
    </xf>
    <xf numFmtId="0" fontId="5" fillId="0" borderId="0" xfId="0" applyFont="1"/>
    <xf numFmtId="0" fontId="6" fillId="0" borderId="0" xfId="0" applyFont="1" applyAlignment="1"/>
    <xf numFmtId="0" fontId="0" fillId="0" borderId="0" xfId="0" applyFill="1" applyAlignment="1">
      <alignment horizontal="center"/>
    </xf>
    <xf numFmtId="0" fontId="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Border="1" applyAlignment="1">
      <alignment horizontal="center"/>
    </xf>
    <xf numFmtId="170" fontId="8" fillId="0" borderId="5" xfId="0" applyNumberFormat="1" applyFont="1" applyBorder="1" applyAlignment="1">
      <alignment horizontal="right" indent="1"/>
    </xf>
    <xf numFmtId="0" fontId="0" fillId="0" borderId="5" xfId="0" applyBorder="1" applyAlignment="1">
      <alignment horizontal="center"/>
    </xf>
    <xf numFmtId="0" fontId="9" fillId="0" borderId="0" xfId="0" applyFont="1" applyAlignment="1"/>
    <xf numFmtId="171" fontId="0" fillId="2" borderId="6" xfId="0" applyNumberFormat="1" applyFill="1" applyBorder="1" applyAlignment="1" applyProtection="1">
      <alignment horizontal="center"/>
      <protection locked="0"/>
    </xf>
    <xf numFmtId="172" fontId="0" fillId="0" borderId="6" xfId="0" applyNumberFormat="1" applyBorder="1" applyAlignment="1" applyProtection="1">
      <alignment horizontal="center"/>
      <protection hidden="1"/>
    </xf>
    <xf numFmtId="173" fontId="10" fillId="0" borderId="5" xfId="1" applyNumberFormat="1" applyFont="1" applyBorder="1" applyAlignment="1">
      <alignment horizontal="center"/>
    </xf>
    <xf numFmtId="14" fontId="0" fillId="2" borderId="6" xfId="0" applyNumberFormat="1" applyFill="1" applyBorder="1" applyAlignment="1" applyProtection="1">
      <alignment horizontal="center"/>
      <protection locked="0"/>
    </xf>
    <xf numFmtId="165" fontId="0" fillId="2" borderId="1" xfId="0" applyNumberFormat="1" applyFill="1" applyBorder="1" applyAlignment="1" applyProtection="1">
      <alignment horizontal="right"/>
      <protection locked="0" hidden="1"/>
    </xf>
    <xf numFmtId="166" fontId="0" fillId="2" borderId="2" xfId="0" applyNumberFormat="1" applyFill="1" applyBorder="1" applyAlignment="1" applyProtection="1">
      <alignment horizontal="left"/>
      <protection locked="0" hidden="1"/>
    </xf>
    <xf numFmtId="0" fontId="0" fillId="3" borderId="0" xfId="0" applyFill="1"/>
    <xf numFmtId="0" fontId="0" fillId="4" borderId="0" xfId="0" applyFill="1"/>
    <xf numFmtId="0" fontId="0" fillId="5" borderId="0" xfId="0" applyFill="1"/>
    <xf numFmtId="174" fontId="0" fillId="2" borderId="6" xfId="0" applyNumberFormat="1" applyFill="1" applyBorder="1" applyAlignment="1" applyProtection="1">
      <alignment horizontal="center"/>
      <protection locked="0"/>
    </xf>
    <xf numFmtId="0" fontId="0" fillId="0" borderId="0" xfId="0" applyBorder="1"/>
    <xf numFmtId="0" fontId="15" fillId="6" borderId="0" xfId="0" applyFont="1" applyFill="1" applyAlignment="1">
      <alignment vertical="center"/>
    </xf>
    <xf numFmtId="0" fontId="15" fillId="7" borderId="0" xfId="0" applyFont="1" applyFill="1" applyAlignment="1">
      <alignment vertical="center"/>
    </xf>
    <xf numFmtId="173" fontId="10" fillId="0" borderId="10" xfId="1" applyNumberFormat="1" applyFont="1" applyBorder="1" applyAlignment="1">
      <alignment horizontal="center"/>
    </xf>
    <xf numFmtId="0" fontId="0" fillId="7" borderId="0" xfId="0" applyFill="1"/>
    <xf numFmtId="0" fontId="4" fillId="0" borderId="0" xfId="0" applyFont="1" applyAlignment="1">
      <alignment horizontal="center"/>
    </xf>
    <xf numFmtId="0" fontId="0" fillId="2" borderId="7" xfId="0" applyNumberFormat="1" applyFill="1" applyBorder="1" applyAlignment="1" applyProtection="1">
      <alignment horizontal="left" vertical="center"/>
      <protection locked="0" hidden="1"/>
    </xf>
    <xf numFmtId="0" fontId="0" fillId="2" borderId="8" xfId="0" applyNumberFormat="1" applyFill="1" applyBorder="1" applyAlignment="1" applyProtection="1">
      <alignment horizontal="left" vertical="center"/>
      <protection locked="0" hidden="1"/>
    </xf>
    <xf numFmtId="0" fontId="0" fillId="2" borderId="9" xfId="0" applyNumberFormat="1" applyFill="1" applyBorder="1" applyAlignment="1" applyProtection="1">
      <alignment horizontal="left" vertical="center"/>
      <protection locked="0" hidden="1"/>
    </xf>
    <xf numFmtId="0" fontId="0" fillId="2" borderId="3" xfId="0" applyNumberFormat="1" applyFill="1" applyBorder="1" applyAlignment="1" applyProtection="1">
      <alignment horizontal="left"/>
      <protection locked="0" hidden="1"/>
    </xf>
    <xf numFmtId="0" fontId="0" fillId="2" borderId="4" xfId="0" applyNumberFormat="1" applyFill="1" applyBorder="1" applyAlignment="1" applyProtection="1">
      <alignment horizontal="left"/>
      <protection locked="0" hidden="1"/>
    </xf>
    <xf numFmtId="175" fontId="0" fillId="0" borderId="0" xfId="0" applyNumberFormat="1" applyAlignment="1">
      <alignment horizontal="right" vertical="top"/>
    </xf>
    <xf numFmtId="169" fontId="0" fillId="0" borderId="0" xfId="0" applyNumberFormat="1" applyAlignment="1">
      <alignment horizontal="left" vertical="top"/>
    </xf>
  </cellXfs>
  <cellStyles count="7">
    <cellStyle name="Currency 2" xfId="2"/>
    <cellStyle name="Normal" xfId="0" builtinId="0"/>
    <cellStyle name="Normal 2" xfId="3"/>
    <cellStyle name="Normal 3" xfId="4"/>
    <cellStyle name="Normal 4" xfId="5"/>
    <cellStyle name="Normal 4 2" xfId="6"/>
    <cellStyle name="Percent" xfId="1" builtinId="5"/>
  </cellStyles>
  <dxfs count="8">
    <dxf>
      <font>
        <color theme="0"/>
      </font>
    </dxf>
    <dxf>
      <font>
        <color rgb="FF0000FF"/>
      </font>
      <numFmt numFmtId="176" formatCode="\(0&quot; lb&quot;\)"/>
    </dxf>
    <dxf>
      <font>
        <color theme="0"/>
      </font>
    </dxf>
    <dxf>
      <font>
        <color theme="0"/>
      </font>
    </dxf>
    <dxf>
      <font>
        <color theme="3" tint="0.39994506668294322"/>
      </font>
    </dxf>
    <dxf>
      <font>
        <color rgb="FF00B050"/>
      </font>
    </dxf>
    <dxf>
      <font>
        <color theme="5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468656175687285E-2"/>
          <c:y val="3.3551550154810844E-2"/>
          <c:w val="0.87909720536034319"/>
          <c:h val="0.79828880003274205"/>
        </c:manualLayout>
      </c:layout>
      <c:lineChart>
        <c:grouping val="standard"/>
        <c:varyColors val="0"/>
        <c:ser>
          <c:idx val="0"/>
          <c:order val="0"/>
          <c:tx>
            <c:strRef>
              <c:f>'BMI Chart'!$J$6</c:f>
              <c:strCache>
                <c:ptCount val="1"/>
                <c:pt idx="0">
                  <c:v>Normal</c:v>
                </c:pt>
              </c:strCache>
            </c:strRef>
          </c:tx>
          <c:spPr>
            <a:ln w="50800"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'BMI Chart'!$E$7:$E$26</c:f>
              <c:numCache>
                <c:formatCode>m/d/yyyy</c:formatCode>
                <c:ptCount val="20"/>
              </c:numCache>
            </c:numRef>
          </c:cat>
          <c:val>
            <c:numRef>
              <c:f>'BMI Chart'!$J$7:$J$26</c:f>
              <c:numCache>
                <c:formatCode>General</c:formatCode>
                <c:ptCount val="20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18.5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18.5</c:v>
                </c:pt>
                <c:pt idx="11">
                  <c:v>18.5</c:v>
                </c:pt>
                <c:pt idx="12">
                  <c:v>18.5</c:v>
                </c:pt>
                <c:pt idx="13">
                  <c:v>18.5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'BMI Chart'!$K$6</c:f>
              <c:strCache>
                <c:ptCount val="1"/>
                <c:pt idx="0">
                  <c:v>Overweight</c:v>
                </c:pt>
              </c:strCache>
            </c:strRef>
          </c:tx>
          <c:spPr>
            <a:ln w="508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'BMI Chart'!$E$7:$E$26</c:f>
              <c:numCache>
                <c:formatCode>m/d/yyyy</c:formatCode>
                <c:ptCount val="20"/>
              </c:numCache>
            </c:numRef>
          </c:cat>
          <c:val>
            <c:numRef>
              <c:f>'BMI Chart'!$K$7:$K$26</c:f>
              <c:numCache>
                <c:formatCode>General</c:formatCode>
                <c:ptCount val="2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'BMI Chart'!$L$6</c:f>
              <c:strCache>
                <c:ptCount val="1"/>
                <c:pt idx="0">
                  <c:v>Obese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'BMI Chart'!$E$7:$E$26</c:f>
              <c:numCache>
                <c:formatCode>m/d/yyyy</c:formatCode>
                <c:ptCount val="20"/>
              </c:numCache>
            </c:numRef>
          </c:cat>
          <c:val>
            <c:numRef>
              <c:f>'BMI Chart'!$L$7:$L$26</c:f>
              <c:numCache>
                <c:formatCode>General</c:formatCode>
                <c:ptCount val="20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'BMI Chart'!$G$6</c:f>
              <c:strCache>
                <c:ptCount val="1"/>
                <c:pt idx="0">
                  <c:v>BMI</c:v>
                </c:pt>
              </c:strCache>
            </c:strRef>
          </c:tx>
          <c:spPr>
            <a:ln w="101600">
              <a:solidFill>
                <a:srgbClr val="0000FF"/>
              </a:solidFill>
            </a:ln>
            <a:effectLst>
              <a:outerShdw blurRad="139700" dist="50800" dir="3180000" sx="103000" sy="103000" algn="ctr" rotWithShape="0">
                <a:srgbClr val="7030A0">
                  <a:alpha val="60000"/>
                </a:srgbClr>
              </a:outerShdw>
            </a:effectLst>
          </c:spPr>
          <c:marker>
            <c:symbol val="circle"/>
            <c:size val="9"/>
            <c:spPr>
              <a:solidFill>
                <a:schemeClr val="bg1"/>
              </a:solidFill>
              <a:ln w="19050">
                <a:solidFill>
                  <a:schemeClr val="tx1"/>
                </a:solidFill>
              </a:ln>
              <a:effectLst>
                <a:outerShdw blurRad="139700" dist="50800" dir="3180000" sx="103000" sy="103000" algn="ctr" rotWithShape="0">
                  <a:srgbClr val="7030A0">
                    <a:alpha val="60000"/>
                  </a:srgbClr>
                </a:outerShdw>
              </a:effectLst>
            </c:spPr>
          </c:marker>
          <c:dLbls>
            <c:spPr>
              <a:solidFill>
                <a:schemeClr val="bg1"/>
              </a:solidFill>
              <a:ln>
                <a:solidFill>
                  <a:srgbClr val="0000FF"/>
                </a:solidFill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'BMI Chart'!$G$7:$G$26</c:f>
              <c:numCache>
                <c:formatCode>#,###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94880"/>
        <c:axId val="36396416"/>
      </c:lineChart>
      <c:dateAx>
        <c:axId val="36394880"/>
        <c:scaling>
          <c:orientation val="minMax"/>
        </c:scaling>
        <c:delete val="0"/>
        <c:axPos val="b"/>
        <c:minorGridlines>
          <c:spPr>
            <a:ln>
              <a:solidFill>
                <a:schemeClr val="accent5">
                  <a:lumMod val="40000"/>
                  <a:lumOff val="60000"/>
                </a:schemeClr>
              </a:solidFill>
            </a:ln>
          </c:spPr>
        </c:minorGridlines>
        <c:numFmt formatCode="mmm\-dd\-yy" sourceLinked="0"/>
        <c:majorTickMark val="out"/>
        <c:minorTickMark val="none"/>
        <c:tickLblPos val="nextTo"/>
        <c:spPr>
          <a:ln w="25400">
            <a:solidFill>
              <a:srgbClr val="0000FF"/>
            </a:solidFill>
          </a:ln>
        </c:spPr>
        <c:txPr>
          <a:bodyPr rot="-2700000"/>
          <a:lstStyle/>
          <a:p>
            <a:pPr>
              <a:defRPr/>
            </a:pPr>
            <a:endParaRPr lang="pt-BR"/>
          </a:p>
        </c:txPr>
        <c:crossAx val="36396416"/>
        <c:crosses val="autoZero"/>
        <c:auto val="0"/>
        <c:lblOffset val="100"/>
        <c:baseTimeUnit val="days"/>
        <c:majorUnit val="7"/>
        <c:majorTimeUnit val="days"/>
        <c:minorUnit val="1"/>
        <c:minorTimeUnit val="days"/>
      </c:dateAx>
      <c:valAx>
        <c:axId val="36396416"/>
        <c:scaling>
          <c:orientation val="minMax"/>
          <c:max val="35"/>
          <c:min val="1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BMI</a:t>
                </a:r>
              </a:p>
            </c:rich>
          </c:tx>
          <c:layout>
            <c:manualLayout>
              <c:xMode val="edge"/>
              <c:yMode val="edge"/>
              <c:x val="1.9579050416054823E-3"/>
              <c:y val="0.4039720664701509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FF"/>
            </a:solidFill>
          </a:ln>
        </c:spPr>
        <c:txPr>
          <a:bodyPr/>
          <a:lstStyle/>
          <a:p>
            <a:pPr>
              <a:defRPr baseline="0">
                <a:solidFill>
                  <a:srgbClr val="0000FF"/>
                </a:solidFill>
              </a:defRPr>
            </a:pPr>
            <a:endParaRPr lang="pt-BR"/>
          </a:p>
        </c:txPr>
        <c:crossAx val="36394880"/>
        <c:crosses val="autoZero"/>
        <c:crossBetween val="midCat"/>
        <c:majorUnit val="5"/>
        <c:minorUnit val="0.4"/>
      </c:valAx>
    </c:plotArea>
    <c:plotVisOnly val="0"/>
    <c:dispBlanksAs val="gap"/>
    <c:showDLblsOverMax val="0"/>
  </c:chart>
  <c:spPr>
    <a:ln>
      <a:solidFill>
        <a:srgbClr val="00B0F0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28576</xdr:colOff>
      <xdr:row>4</xdr:row>
      <xdr:rowOff>142875</xdr:rowOff>
    </xdr:from>
    <xdr:to>
      <xdr:col>21</xdr:col>
      <xdr:colOff>314325</xdr:colOff>
      <xdr:row>26</xdr:row>
      <xdr:rowOff>106798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38100</xdr:rowOff>
        </xdr:from>
        <xdr:to>
          <xdr:col>12</xdr:col>
          <xdr:colOff>323850</xdr:colOff>
          <xdr:row>4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2</xdr:row>
          <xdr:rowOff>47625</xdr:rowOff>
        </xdr:from>
        <xdr:to>
          <xdr:col>13</xdr:col>
          <xdr:colOff>266700</xdr:colOff>
          <xdr:row>4</xdr:row>
          <xdr:rowOff>9525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0.02691</cdr:x>
      <cdr:y>0.44163</cdr:y>
    </cdr:from>
    <cdr:to>
      <cdr:x>0.96159</cdr:x>
      <cdr:y>0.69679</cdr:y>
    </cdr:to>
    <cdr:sp macro="" textlink="">
      <cdr:nvSpPr>
        <cdr:cNvPr id="8" name="Rectangle 7"/>
        <cdr:cNvSpPr>
          <a:spLocks xmlns:a="http://schemas.openxmlformats.org/drawingml/2006/main" noChangeAspect="1"/>
        </cdr:cNvSpPr>
      </cdr:nvSpPr>
      <cdr:spPr>
        <a:xfrm xmlns:a="http://schemas.openxmlformats.org/drawingml/2006/main">
          <a:off x="174240" y="1839612"/>
          <a:ext cx="6051936" cy="1062871"/>
        </a:xfrm>
        <a:prstGeom xmlns:a="http://schemas.openxmlformats.org/drawingml/2006/main" prst="rect">
          <a:avLst/>
        </a:prstGeom>
        <a:solidFill xmlns:a="http://schemas.openxmlformats.org/drawingml/2006/main">
          <a:srgbClr val="00FF00">
            <a:alpha val="20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0.0279</cdr:x>
      <cdr:y>0.03431</cdr:y>
    </cdr:from>
    <cdr:to>
      <cdr:x>0.96118</cdr:x>
      <cdr:y>0.23931</cdr:y>
    </cdr:to>
    <cdr:sp macro="" textlink="">
      <cdr:nvSpPr>
        <cdr:cNvPr id="6" name="Rectangle 5"/>
        <cdr:cNvSpPr>
          <a:spLocks xmlns:a="http://schemas.openxmlformats.org/drawingml/2006/main" noChangeAspect="1"/>
        </cdr:cNvSpPr>
      </cdr:nvSpPr>
      <cdr:spPr>
        <a:xfrm xmlns:a="http://schemas.openxmlformats.org/drawingml/2006/main">
          <a:off x="180975" y="142875"/>
          <a:ext cx="6053768" cy="853722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20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0.02746</cdr:x>
      <cdr:y>0.2378</cdr:y>
    </cdr:from>
    <cdr:to>
      <cdr:x>0.96118</cdr:x>
      <cdr:y>0.44163</cdr:y>
    </cdr:to>
    <cdr:sp macro="" textlink="">
      <cdr:nvSpPr>
        <cdr:cNvPr id="7" name="Rectangle 6"/>
        <cdr:cNvSpPr>
          <a:spLocks xmlns:a="http://schemas.openxmlformats.org/drawingml/2006/main" noChangeAspect="1"/>
        </cdr:cNvSpPr>
      </cdr:nvSpPr>
      <cdr:spPr>
        <a:xfrm xmlns:a="http://schemas.openxmlformats.org/drawingml/2006/main">
          <a:off x="177801" y="990557"/>
          <a:ext cx="6045728" cy="849055"/>
        </a:xfrm>
        <a:prstGeom xmlns:a="http://schemas.openxmlformats.org/drawingml/2006/main" prst="rect">
          <a:avLst/>
        </a:prstGeom>
        <a:solidFill xmlns:a="http://schemas.openxmlformats.org/drawingml/2006/main">
          <a:srgbClr val="FFC000">
            <a:alpha val="20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0.02523</cdr:x>
      <cdr:y>0.04839</cdr:y>
    </cdr:from>
    <cdr:to>
      <cdr:x>0.06308</cdr:x>
      <cdr:y>0.2235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-73025" y="438149"/>
          <a:ext cx="723900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900"/>
            <a:t>Obese</a:t>
          </a:r>
        </a:p>
      </cdr:txBody>
    </cdr:sp>
  </cdr:relSizeAnchor>
  <cdr:relSizeAnchor xmlns:cdr="http://schemas.openxmlformats.org/drawingml/2006/chartDrawing">
    <cdr:from>
      <cdr:x>0.02523</cdr:x>
      <cdr:y>0.26037</cdr:y>
    </cdr:from>
    <cdr:to>
      <cdr:x>0.06308</cdr:x>
      <cdr:y>0.43088</cdr:y>
    </cdr:to>
    <cdr:sp macro="" textlink="">
      <cdr:nvSpPr>
        <cdr:cNvPr id="3" name="TextBox 1"/>
        <cdr:cNvSpPr txBox="1"/>
      </cdr:nvSpPr>
      <cdr:spPr>
        <a:xfrm xmlns:a="http://schemas.openxmlformats.org/drawingml/2006/main" rot="16200000">
          <a:off x="-63500" y="1304925"/>
          <a:ext cx="704849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900"/>
            <a:t>Overweight</a:t>
          </a:r>
        </a:p>
      </cdr:txBody>
    </cdr:sp>
  </cdr:relSizeAnchor>
  <cdr:relSizeAnchor xmlns:cdr="http://schemas.openxmlformats.org/drawingml/2006/chartDrawing">
    <cdr:from>
      <cdr:x>0.02523</cdr:x>
      <cdr:y>0.4639</cdr:y>
    </cdr:from>
    <cdr:to>
      <cdr:x>0.06308</cdr:x>
      <cdr:y>0.6129</cdr:y>
    </cdr:to>
    <cdr:sp macro="" textlink="">
      <cdr:nvSpPr>
        <cdr:cNvPr id="4" name="TextBox 1"/>
        <cdr:cNvSpPr txBox="1"/>
      </cdr:nvSpPr>
      <cdr:spPr>
        <a:xfrm xmlns:a="http://schemas.openxmlformats.org/drawingml/2006/main" rot="16200000">
          <a:off x="-19050" y="2101850"/>
          <a:ext cx="615949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900"/>
            <a:t>Normal</a:t>
          </a:r>
        </a:p>
      </cdr:txBody>
    </cdr:sp>
  </cdr:relSizeAnchor>
  <cdr:relSizeAnchor xmlns:cdr="http://schemas.openxmlformats.org/drawingml/2006/chartDrawing">
    <cdr:from>
      <cdr:x>0.02523</cdr:x>
      <cdr:y>0.67403</cdr:y>
    </cdr:from>
    <cdr:to>
      <cdr:x>0.06308</cdr:x>
      <cdr:y>0.84101</cdr:y>
    </cdr:to>
    <cdr:sp macro="" textlink="">
      <cdr:nvSpPr>
        <cdr:cNvPr id="5" name="TextBox 1"/>
        <cdr:cNvSpPr txBox="1"/>
      </cdr:nvSpPr>
      <cdr:spPr>
        <a:xfrm xmlns:a="http://schemas.openxmlformats.org/drawingml/2006/main" rot="16200000">
          <a:off x="-60364" y="3030369"/>
          <a:ext cx="695101" cy="246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700"/>
            <a:t>Underrweight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MIChart">
    <pageSetUpPr fitToPage="1"/>
  </sheetPr>
  <dimension ref="A1:X112"/>
  <sheetViews>
    <sheetView showGridLines="0" showRowColHeaders="0" tabSelected="1" zoomScaleNormal="100" workbookViewId="0">
      <selection activeCell="F4" sqref="F4:G4"/>
    </sheetView>
  </sheetViews>
  <sheetFormatPr defaultColWidth="0" defaultRowHeight="15" customHeight="1" zeroHeight="1" x14ac:dyDescent="0.25"/>
  <cols>
    <col min="1" max="1" width="2.42578125" customWidth="1"/>
    <col min="2" max="2" width="8.7109375" customWidth="1"/>
    <col min="3" max="3" width="5.28515625" customWidth="1"/>
    <col min="4" max="4" width="3.85546875" bestFit="1" customWidth="1"/>
    <col min="5" max="5" width="11.7109375" customWidth="1"/>
    <col min="6" max="6" width="11" bestFit="1" customWidth="1"/>
    <col min="7" max="7" width="5.85546875" bestFit="1" customWidth="1"/>
    <col min="8" max="8" width="2.28515625" customWidth="1"/>
    <col min="9" max="9" width="4.140625" customWidth="1"/>
    <col min="10" max="12" width="9.140625" hidden="1" customWidth="1"/>
    <col min="13" max="22" width="9.140625" customWidth="1"/>
    <col min="23" max="23" width="5.28515625" customWidth="1"/>
    <col min="24" max="24" width="9.140625" customWidth="1"/>
    <col min="25" max="16384" width="9.140625" hidden="1"/>
  </cols>
  <sheetData>
    <row r="1" spans="2:22" ht="15.75" customHeight="1" x14ac:dyDescent="0.25">
      <c r="I1" s="32" t="s">
        <v>0</v>
      </c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2:22" ht="15" customHeight="1" x14ac:dyDescent="0.45">
      <c r="B2" s="1" t="s">
        <v>1</v>
      </c>
      <c r="C2" s="33"/>
      <c r="D2" s="34"/>
      <c r="E2" s="34"/>
      <c r="F2" s="34"/>
      <c r="G2" s="35"/>
      <c r="H2" s="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</row>
    <row r="3" spans="2:22" ht="5.25" customHeight="1" x14ac:dyDescent="0.25">
      <c r="B3" s="3"/>
      <c r="C3" s="4"/>
      <c r="D3" s="4"/>
      <c r="E3" s="4"/>
      <c r="F3" s="4"/>
      <c r="G3" s="4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</row>
    <row r="4" spans="2:22" ht="15" customHeight="1" x14ac:dyDescent="0.25">
      <c r="B4" s="3" t="s">
        <v>2</v>
      </c>
      <c r="C4" s="21"/>
      <c r="D4" s="22"/>
      <c r="E4" s="5">
        <f>(C4*12+D4)*0.0254</f>
        <v>0</v>
      </c>
      <c r="F4" s="36" t="s">
        <v>3</v>
      </c>
      <c r="G4" s="37"/>
      <c r="H4" s="6"/>
      <c r="I4" s="38">
        <f>MIN(E7:E26)</f>
        <v>0</v>
      </c>
      <c r="J4" s="38"/>
      <c r="K4" s="38"/>
      <c r="L4" s="38"/>
      <c r="M4" s="38"/>
      <c r="N4" s="38"/>
      <c r="O4" s="38"/>
      <c r="P4" s="38"/>
      <c r="Q4" s="38"/>
      <c r="R4" s="39">
        <f>MAX(E7:E26)</f>
        <v>0</v>
      </c>
      <c r="S4" s="39"/>
      <c r="T4" s="39"/>
      <c r="U4" s="39"/>
      <c r="V4" s="39"/>
    </row>
    <row r="5" spans="2:22" x14ac:dyDescent="0.25">
      <c r="C5" s="7" t="str">
        <f>IF(E4=0,"","Ideal weight between "&amp;ROUND(18.5*E4^2*2.20462,0)&amp;" and "&amp;ROUND(24.9*E4^2*2.20462,0)&amp;" lb ("&amp;ROUND(18.5*E4^2,1)&amp;"-"&amp;ROUND(24.9*E4^2,1)&amp;"kg)")</f>
        <v/>
      </c>
      <c r="E5" s="8"/>
      <c r="F5" s="9"/>
      <c r="G5" s="9"/>
      <c r="H5" s="9"/>
      <c r="I5" s="9"/>
    </row>
    <row r="6" spans="2:22" ht="15.75" customHeight="1" x14ac:dyDescent="0.25">
      <c r="B6" s="10" t="s">
        <v>4</v>
      </c>
      <c r="C6" s="11" t="s">
        <v>5</v>
      </c>
      <c r="D6" s="12"/>
      <c r="E6" s="13" t="s">
        <v>6</v>
      </c>
      <c r="F6" s="13" t="s">
        <v>7</v>
      </c>
      <c r="G6" s="13" t="s">
        <v>8</v>
      </c>
      <c r="J6" t="s">
        <v>9</v>
      </c>
      <c r="K6" t="s">
        <v>10</v>
      </c>
      <c r="L6" t="s">
        <v>11</v>
      </c>
    </row>
    <row r="7" spans="2:22" ht="15" customHeight="1" x14ac:dyDescent="0.25">
      <c r="B7" s="14">
        <f>F7-(24.9*$E$4^2*2.20462)</f>
        <v>0</v>
      </c>
      <c r="C7" s="15" t="s">
        <v>12</v>
      </c>
      <c r="D7" s="16">
        <v>1</v>
      </c>
      <c r="E7" s="26"/>
      <c r="F7" s="17"/>
      <c r="G7" s="18">
        <f t="shared" ref="G7:G26" si="0">F7*0.45359/IF($E$4=0,1,$E$4^2)</f>
        <v>0</v>
      </c>
      <c r="J7" s="12">
        <v>18.5</v>
      </c>
      <c r="K7" s="12">
        <v>25</v>
      </c>
      <c r="L7" s="12">
        <v>30</v>
      </c>
    </row>
    <row r="8" spans="2:22" x14ac:dyDescent="0.25">
      <c r="B8" s="14">
        <f>F8-(24.9*$E$4^2*2.20462)</f>
        <v>0</v>
      </c>
      <c r="C8" s="19" t="e">
        <f>(F8-F7)/F7</f>
        <v>#DIV/0!</v>
      </c>
      <c r="D8" s="16">
        <v>2</v>
      </c>
      <c r="E8" s="20"/>
      <c r="F8" s="17"/>
      <c r="G8" s="18">
        <f t="shared" si="0"/>
        <v>0</v>
      </c>
      <c r="J8" s="12">
        <v>18.5</v>
      </c>
      <c r="K8" s="12">
        <v>25</v>
      </c>
      <c r="L8" s="12">
        <v>30</v>
      </c>
    </row>
    <row r="9" spans="2:22" x14ac:dyDescent="0.25">
      <c r="B9" s="14">
        <f t="shared" ref="B9:B26" si="1">F9-(24.9*$E$4^2*2.20462)</f>
        <v>0</v>
      </c>
      <c r="C9" s="19" t="e">
        <f t="shared" ref="C9:C26" si="2">(F9-F8)/F8</f>
        <v>#DIV/0!</v>
      </c>
      <c r="D9" s="16">
        <v>3</v>
      </c>
      <c r="E9" s="20"/>
      <c r="F9" s="17"/>
      <c r="G9" s="18">
        <f t="shared" si="0"/>
        <v>0</v>
      </c>
      <c r="J9" s="12">
        <v>18.5</v>
      </c>
      <c r="K9" s="12">
        <v>25</v>
      </c>
      <c r="L9" s="12">
        <v>30</v>
      </c>
    </row>
    <row r="10" spans="2:22" x14ac:dyDescent="0.25">
      <c r="B10" s="14">
        <f t="shared" si="1"/>
        <v>0</v>
      </c>
      <c r="C10" s="19" t="e">
        <f t="shared" si="2"/>
        <v>#DIV/0!</v>
      </c>
      <c r="D10" s="16">
        <v>4</v>
      </c>
      <c r="E10" s="20"/>
      <c r="F10" s="17"/>
      <c r="G10" s="18">
        <f t="shared" si="0"/>
        <v>0</v>
      </c>
      <c r="J10" s="12">
        <v>18.5</v>
      </c>
      <c r="K10" s="12">
        <v>25</v>
      </c>
      <c r="L10" s="12">
        <v>30</v>
      </c>
    </row>
    <row r="11" spans="2:22" x14ac:dyDescent="0.25">
      <c r="B11" s="14">
        <f t="shared" si="1"/>
        <v>0</v>
      </c>
      <c r="C11" s="19" t="e">
        <f t="shared" si="2"/>
        <v>#DIV/0!</v>
      </c>
      <c r="D11" s="16">
        <v>5</v>
      </c>
      <c r="E11" s="20"/>
      <c r="F11" s="17"/>
      <c r="G11" s="18">
        <f t="shared" si="0"/>
        <v>0</v>
      </c>
      <c r="J11" s="12">
        <v>18.5</v>
      </c>
      <c r="K11" s="12">
        <v>25</v>
      </c>
      <c r="L11" s="12">
        <v>30</v>
      </c>
    </row>
    <row r="12" spans="2:22" x14ac:dyDescent="0.25">
      <c r="B12" s="14">
        <f t="shared" si="1"/>
        <v>0</v>
      </c>
      <c r="C12" s="19" t="e">
        <f t="shared" si="2"/>
        <v>#DIV/0!</v>
      </c>
      <c r="D12" s="16">
        <v>6</v>
      </c>
      <c r="E12" s="20"/>
      <c r="F12" s="17"/>
      <c r="G12" s="18">
        <f t="shared" si="0"/>
        <v>0</v>
      </c>
      <c r="J12" s="12">
        <v>18.5</v>
      </c>
      <c r="K12" s="12">
        <v>25</v>
      </c>
      <c r="L12" s="12">
        <v>30</v>
      </c>
    </row>
    <row r="13" spans="2:22" x14ac:dyDescent="0.25">
      <c r="B13" s="14">
        <f t="shared" si="1"/>
        <v>0</v>
      </c>
      <c r="C13" s="19" t="e">
        <f t="shared" si="2"/>
        <v>#DIV/0!</v>
      </c>
      <c r="D13" s="16">
        <v>7</v>
      </c>
      <c r="E13" s="20"/>
      <c r="F13" s="17"/>
      <c r="G13" s="18">
        <f t="shared" si="0"/>
        <v>0</v>
      </c>
      <c r="J13" s="12">
        <v>18.5</v>
      </c>
      <c r="K13" s="12">
        <v>25</v>
      </c>
      <c r="L13" s="12">
        <v>30</v>
      </c>
    </row>
    <row r="14" spans="2:22" x14ac:dyDescent="0.25">
      <c r="B14" s="14">
        <f t="shared" si="1"/>
        <v>0</v>
      </c>
      <c r="C14" s="19" t="e">
        <f t="shared" si="2"/>
        <v>#DIV/0!</v>
      </c>
      <c r="D14" s="16">
        <v>8</v>
      </c>
      <c r="E14" s="20"/>
      <c r="F14" s="17"/>
      <c r="G14" s="18">
        <f t="shared" si="0"/>
        <v>0</v>
      </c>
      <c r="J14" s="12">
        <v>18.5</v>
      </c>
      <c r="K14" s="12">
        <v>25</v>
      </c>
      <c r="L14" s="12">
        <v>30</v>
      </c>
    </row>
    <row r="15" spans="2:22" x14ac:dyDescent="0.25">
      <c r="B15" s="14">
        <f t="shared" si="1"/>
        <v>0</v>
      </c>
      <c r="C15" s="19" t="e">
        <f t="shared" si="2"/>
        <v>#DIV/0!</v>
      </c>
      <c r="D15" s="16">
        <v>9</v>
      </c>
      <c r="E15" s="20"/>
      <c r="F15" s="17"/>
      <c r="G15" s="18">
        <f t="shared" si="0"/>
        <v>0</v>
      </c>
      <c r="J15" s="12">
        <v>18.5</v>
      </c>
      <c r="K15" s="12">
        <v>25</v>
      </c>
      <c r="L15" s="12">
        <v>30</v>
      </c>
    </row>
    <row r="16" spans="2:22" x14ac:dyDescent="0.25">
      <c r="B16" s="14">
        <f t="shared" si="1"/>
        <v>0</v>
      </c>
      <c r="C16" s="19" t="e">
        <f t="shared" si="2"/>
        <v>#DIV/0!</v>
      </c>
      <c r="D16" s="16">
        <v>10</v>
      </c>
      <c r="E16" s="20"/>
      <c r="F16" s="17"/>
      <c r="G16" s="18">
        <f t="shared" si="0"/>
        <v>0</v>
      </c>
      <c r="J16" s="12">
        <v>18.5</v>
      </c>
      <c r="K16" s="12">
        <v>25</v>
      </c>
      <c r="L16" s="12">
        <v>30</v>
      </c>
    </row>
    <row r="17" spans="1:16" x14ac:dyDescent="0.25">
      <c r="B17" s="14">
        <f t="shared" si="1"/>
        <v>0</v>
      </c>
      <c r="C17" s="19" t="e">
        <f t="shared" si="2"/>
        <v>#DIV/0!</v>
      </c>
      <c r="D17" s="16">
        <v>11</v>
      </c>
      <c r="E17" s="20"/>
      <c r="F17" s="17"/>
      <c r="G17" s="18">
        <f t="shared" si="0"/>
        <v>0</v>
      </c>
      <c r="J17" s="12">
        <v>18.5</v>
      </c>
      <c r="K17" s="12">
        <v>25</v>
      </c>
      <c r="L17" s="12">
        <v>30</v>
      </c>
    </row>
    <row r="18" spans="1:16" x14ac:dyDescent="0.25">
      <c r="B18" s="14">
        <f t="shared" si="1"/>
        <v>0</v>
      </c>
      <c r="C18" s="19" t="e">
        <f t="shared" si="2"/>
        <v>#DIV/0!</v>
      </c>
      <c r="D18" s="16">
        <v>12</v>
      </c>
      <c r="E18" s="20"/>
      <c r="F18" s="17"/>
      <c r="G18" s="18">
        <f t="shared" si="0"/>
        <v>0</v>
      </c>
      <c r="J18" s="12">
        <v>18.5</v>
      </c>
      <c r="K18" s="12">
        <v>25</v>
      </c>
      <c r="L18" s="12">
        <v>30</v>
      </c>
    </row>
    <row r="19" spans="1:16" x14ac:dyDescent="0.25">
      <c r="B19" s="14">
        <f t="shared" si="1"/>
        <v>0</v>
      </c>
      <c r="C19" s="19" t="e">
        <f t="shared" si="2"/>
        <v>#DIV/0!</v>
      </c>
      <c r="D19" s="16">
        <v>13</v>
      </c>
      <c r="E19" s="20"/>
      <c r="F19" s="17"/>
      <c r="G19" s="18">
        <f t="shared" si="0"/>
        <v>0</v>
      </c>
      <c r="J19" s="12">
        <v>18.5</v>
      </c>
      <c r="K19" s="12">
        <v>25</v>
      </c>
      <c r="L19" s="12">
        <v>30</v>
      </c>
    </row>
    <row r="20" spans="1:16" x14ac:dyDescent="0.25">
      <c r="B20" s="14">
        <f t="shared" si="1"/>
        <v>0</v>
      </c>
      <c r="C20" s="19" t="e">
        <f t="shared" si="2"/>
        <v>#DIV/0!</v>
      </c>
      <c r="D20" s="16">
        <v>14</v>
      </c>
      <c r="E20" s="20"/>
      <c r="F20" s="17"/>
      <c r="G20" s="18">
        <f t="shared" si="0"/>
        <v>0</v>
      </c>
      <c r="J20" s="12">
        <v>18.5</v>
      </c>
      <c r="K20" s="12">
        <v>25</v>
      </c>
      <c r="L20" s="12">
        <v>30</v>
      </c>
    </row>
    <row r="21" spans="1:16" x14ac:dyDescent="0.25">
      <c r="B21" s="14">
        <f t="shared" si="1"/>
        <v>0</v>
      </c>
      <c r="C21" s="19" t="e">
        <f t="shared" si="2"/>
        <v>#DIV/0!</v>
      </c>
      <c r="D21" s="16">
        <v>15</v>
      </c>
      <c r="E21" s="20"/>
      <c r="F21" s="17"/>
      <c r="G21" s="18">
        <f t="shared" si="0"/>
        <v>0</v>
      </c>
      <c r="J21" s="12">
        <v>18.5</v>
      </c>
      <c r="K21" s="12">
        <v>25</v>
      </c>
      <c r="L21" s="12">
        <v>30</v>
      </c>
    </row>
    <row r="22" spans="1:16" x14ac:dyDescent="0.25">
      <c r="B22" s="14">
        <f t="shared" si="1"/>
        <v>0</v>
      </c>
      <c r="C22" s="19" t="e">
        <f t="shared" si="2"/>
        <v>#DIV/0!</v>
      </c>
      <c r="D22" s="16">
        <v>16</v>
      </c>
      <c r="E22" s="20"/>
      <c r="F22" s="17"/>
      <c r="G22" s="18">
        <f t="shared" si="0"/>
        <v>0</v>
      </c>
      <c r="J22" s="12">
        <v>18.5</v>
      </c>
      <c r="K22" s="12">
        <v>25</v>
      </c>
      <c r="L22" s="12">
        <v>30</v>
      </c>
    </row>
    <row r="23" spans="1:16" x14ac:dyDescent="0.25">
      <c r="B23" s="14">
        <f t="shared" si="1"/>
        <v>0</v>
      </c>
      <c r="C23" s="19" t="e">
        <f t="shared" si="2"/>
        <v>#DIV/0!</v>
      </c>
      <c r="D23" s="16">
        <v>17</v>
      </c>
      <c r="E23" s="20"/>
      <c r="F23" s="17"/>
      <c r="G23" s="18">
        <f t="shared" si="0"/>
        <v>0</v>
      </c>
      <c r="J23" s="12">
        <v>18.5</v>
      </c>
      <c r="K23" s="12">
        <v>25</v>
      </c>
      <c r="L23" s="12">
        <v>30</v>
      </c>
    </row>
    <row r="24" spans="1:16" x14ac:dyDescent="0.25">
      <c r="B24" s="14">
        <f t="shared" si="1"/>
        <v>0</v>
      </c>
      <c r="C24" s="19" t="e">
        <f t="shared" si="2"/>
        <v>#DIV/0!</v>
      </c>
      <c r="D24" s="16">
        <v>18</v>
      </c>
      <c r="E24" s="20"/>
      <c r="F24" s="17"/>
      <c r="G24" s="18">
        <f t="shared" si="0"/>
        <v>0</v>
      </c>
      <c r="J24" s="12">
        <v>18.5</v>
      </c>
      <c r="K24" s="12">
        <v>25</v>
      </c>
      <c r="L24" s="12">
        <v>30</v>
      </c>
    </row>
    <row r="25" spans="1:16" x14ac:dyDescent="0.25">
      <c r="B25" s="14">
        <f t="shared" si="1"/>
        <v>0</v>
      </c>
      <c r="C25" s="19" t="e">
        <f t="shared" si="2"/>
        <v>#DIV/0!</v>
      </c>
      <c r="D25" s="16">
        <v>19</v>
      </c>
      <c r="E25" s="20"/>
      <c r="F25" s="17"/>
      <c r="G25" s="18">
        <f t="shared" si="0"/>
        <v>0</v>
      </c>
      <c r="J25" s="12">
        <v>18.5</v>
      </c>
      <c r="K25" s="12">
        <v>25</v>
      </c>
      <c r="L25" s="12">
        <v>30</v>
      </c>
    </row>
    <row r="26" spans="1:16" x14ac:dyDescent="0.25">
      <c r="B26" s="14">
        <f t="shared" si="1"/>
        <v>0</v>
      </c>
      <c r="C26" s="30" t="e">
        <f t="shared" si="2"/>
        <v>#DIV/0!</v>
      </c>
      <c r="D26" s="16">
        <v>20</v>
      </c>
      <c r="E26" s="20"/>
      <c r="F26" s="17"/>
      <c r="G26" s="18">
        <f t="shared" si="0"/>
        <v>0</v>
      </c>
      <c r="J26" s="12">
        <v>18.5</v>
      </c>
      <c r="K26" s="12">
        <v>25</v>
      </c>
      <c r="L26" s="12">
        <v>30</v>
      </c>
    </row>
    <row r="27" spans="1:16" ht="49.5" customHeight="1" x14ac:dyDescent="0.25">
      <c r="C27" s="27"/>
    </row>
    <row r="28" spans="1:16" ht="15" hidden="1" customHeight="1" x14ac:dyDescent="0.25"/>
    <row r="29" spans="1:16" ht="15" hidden="1" customHeight="1" x14ac:dyDescent="0.25"/>
    <row r="30" spans="1:16" hidden="1" x14ac:dyDescent="0.25">
      <c r="A30" s="28" t="s">
        <v>17</v>
      </c>
      <c r="B30" s="29" t="s">
        <v>18</v>
      </c>
      <c r="D30" s="23" t="s">
        <v>3</v>
      </c>
      <c r="E30" s="23"/>
      <c r="G30" s="24"/>
      <c r="H30" s="24"/>
      <c r="I30" s="24"/>
      <c r="O30" s="25">
        <v>41275</v>
      </c>
      <c r="P30" s="25">
        <v>155</v>
      </c>
    </row>
    <row r="31" spans="1:16" ht="15" hidden="1" customHeight="1" x14ac:dyDescent="0.25">
      <c r="A31" s="28" t="s">
        <v>19</v>
      </c>
      <c r="B31" s="29" t="s">
        <v>20</v>
      </c>
      <c r="D31" t="s">
        <v>13</v>
      </c>
      <c r="G31" t="s">
        <v>13</v>
      </c>
      <c r="H31">
        <v>6</v>
      </c>
      <c r="I31">
        <v>2</v>
      </c>
      <c r="O31">
        <v>41284</v>
      </c>
      <c r="P31">
        <v>169</v>
      </c>
    </row>
    <row r="32" spans="1:16" ht="15" hidden="1" customHeight="1" x14ac:dyDescent="0.25">
      <c r="A32" s="28" t="s">
        <v>21</v>
      </c>
      <c r="B32" s="29" t="s">
        <v>22</v>
      </c>
      <c r="D32" t="s">
        <v>15</v>
      </c>
      <c r="G32" t="s">
        <v>13</v>
      </c>
      <c r="H32">
        <v>5</v>
      </c>
      <c r="I32">
        <v>11</v>
      </c>
      <c r="O32">
        <v>41293</v>
      </c>
      <c r="P32">
        <v>160</v>
      </c>
    </row>
    <row r="33" spans="1:16" ht="15" hidden="1" customHeight="1" x14ac:dyDescent="0.25">
      <c r="A33" s="28" t="s">
        <v>23</v>
      </c>
      <c r="B33" s="29" t="s">
        <v>24</v>
      </c>
      <c r="D33" t="s">
        <v>16</v>
      </c>
      <c r="G33" t="s">
        <v>13</v>
      </c>
      <c r="H33">
        <v>5</v>
      </c>
      <c r="I33">
        <v>7</v>
      </c>
      <c r="O33">
        <v>41302</v>
      </c>
      <c r="P33">
        <v>157</v>
      </c>
    </row>
    <row r="34" spans="1:16" ht="15" hidden="1" customHeight="1" x14ac:dyDescent="0.25">
      <c r="A34" s="28" t="s">
        <v>25</v>
      </c>
      <c r="B34" s="29">
        <v>3</v>
      </c>
      <c r="D34" t="s">
        <v>14</v>
      </c>
      <c r="G34" t="s">
        <v>13</v>
      </c>
      <c r="H34">
        <v>5</v>
      </c>
      <c r="I34">
        <v>7</v>
      </c>
      <c r="O34">
        <v>41311</v>
      </c>
      <c r="P34">
        <v>159</v>
      </c>
    </row>
    <row r="35" spans="1:16" ht="15" hidden="1" customHeight="1" x14ac:dyDescent="0.25">
      <c r="A35" s="28" t="s">
        <v>35</v>
      </c>
      <c r="B35" s="29" t="s">
        <v>26</v>
      </c>
      <c r="O35">
        <v>41320</v>
      </c>
      <c r="P35">
        <v>160</v>
      </c>
    </row>
    <row r="36" spans="1:16" ht="15" hidden="1" customHeight="1" x14ac:dyDescent="0.25">
      <c r="A36" s="28" t="s">
        <v>36</v>
      </c>
      <c r="B36" s="31"/>
      <c r="O36">
        <v>41329</v>
      </c>
      <c r="P36">
        <v>170</v>
      </c>
    </row>
    <row r="37" spans="1:16" ht="15" hidden="1" customHeight="1" x14ac:dyDescent="0.25">
      <c r="A37" s="28" t="s">
        <v>37</v>
      </c>
      <c r="B37" s="31"/>
      <c r="O37">
        <v>41338</v>
      </c>
      <c r="P37">
        <v>180</v>
      </c>
    </row>
    <row r="38" spans="1:16" ht="15" hidden="1" customHeight="1" x14ac:dyDescent="0.25">
      <c r="A38" s="28" t="s">
        <v>38</v>
      </c>
      <c r="B38" s="31"/>
      <c r="O38">
        <v>41347</v>
      </c>
      <c r="P38">
        <v>179</v>
      </c>
    </row>
    <row r="39" spans="1:16" ht="15" hidden="1" customHeight="1" x14ac:dyDescent="0.25">
      <c r="A39" s="28" t="s">
        <v>27</v>
      </c>
      <c r="B39" s="29" t="s">
        <v>28</v>
      </c>
      <c r="O39">
        <v>41356</v>
      </c>
      <c r="P39">
        <v>170</v>
      </c>
    </row>
    <row r="40" spans="1:16" ht="15" hidden="1" customHeight="1" x14ac:dyDescent="0.25">
      <c r="A40" s="28" t="s">
        <v>29</v>
      </c>
      <c r="B40" s="29">
        <v>2</v>
      </c>
      <c r="O40">
        <v>41365</v>
      </c>
      <c r="P40">
        <v>166</v>
      </c>
    </row>
    <row r="41" spans="1:16" ht="15" hidden="1" customHeight="1" x14ac:dyDescent="0.25">
      <c r="A41" s="28" t="s">
        <v>30</v>
      </c>
      <c r="B41" s="29">
        <v>21</v>
      </c>
      <c r="O41">
        <v>41374</v>
      </c>
      <c r="P41">
        <v>178</v>
      </c>
    </row>
    <row r="42" spans="1:16" ht="15" hidden="1" customHeight="1" x14ac:dyDescent="0.25">
      <c r="A42" s="28" t="s">
        <v>31</v>
      </c>
      <c r="B42" s="29">
        <v>30</v>
      </c>
      <c r="O42">
        <v>41383</v>
      </c>
      <c r="P42">
        <v>167</v>
      </c>
    </row>
    <row r="43" spans="1:16" ht="15" hidden="1" customHeight="1" x14ac:dyDescent="0.25">
      <c r="A43" s="28" t="s">
        <v>32</v>
      </c>
      <c r="B43" s="29" t="s">
        <v>33</v>
      </c>
      <c r="O43">
        <v>41392</v>
      </c>
      <c r="P43">
        <v>162</v>
      </c>
    </row>
    <row r="44" spans="1:16" ht="15" hidden="1" customHeight="1" x14ac:dyDescent="0.25">
      <c r="A44" s="28" t="s">
        <v>34</v>
      </c>
      <c r="B44" s="29">
        <v>3</v>
      </c>
      <c r="O44">
        <v>41401</v>
      </c>
      <c r="P44">
        <v>163</v>
      </c>
    </row>
    <row r="45" spans="1:16" ht="15" hidden="1" customHeight="1" x14ac:dyDescent="0.25">
      <c r="O45">
        <v>41410</v>
      </c>
      <c r="P45">
        <v>161</v>
      </c>
    </row>
    <row r="46" spans="1:16" ht="15" hidden="1" customHeight="1" x14ac:dyDescent="0.25">
      <c r="O46">
        <v>41419</v>
      </c>
      <c r="P46">
        <v>160</v>
      </c>
    </row>
    <row r="47" spans="1:16" ht="15" hidden="1" customHeight="1" x14ac:dyDescent="0.25">
      <c r="O47">
        <v>41428</v>
      </c>
      <c r="P47">
        <v>159</v>
      </c>
    </row>
    <row r="48" spans="1:16" ht="15" hidden="1" customHeight="1" x14ac:dyDescent="0.25">
      <c r="O48">
        <v>41437</v>
      </c>
      <c r="P48">
        <v>158</v>
      </c>
    </row>
    <row r="49" spans="15:16" ht="15" hidden="1" customHeight="1" x14ac:dyDescent="0.25">
      <c r="O49">
        <v>41446</v>
      </c>
      <c r="P49">
        <v>159</v>
      </c>
    </row>
    <row r="50" spans="15:16" ht="15" hidden="1" customHeight="1" x14ac:dyDescent="0.25"/>
    <row r="51" spans="15:16" ht="15" hidden="1" customHeight="1" x14ac:dyDescent="0.25">
      <c r="O51">
        <v>41275</v>
      </c>
      <c r="P51">
        <v>190</v>
      </c>
    </row>
    <row r="52" spans="15:16" ht="15" hidden="1" customHeight="1" x14ac:dyDescent="0.25">
      <c r="O52">
        <v>41284</v>
      </c>
      <c r="P52">
        <v>192</v>
      </c>
    </row>
    <row r="53" spans="15:16" ht="15" hidden="1" customHeight="1" x14ac:dyDescent="0.25">
      <c r="O53">
        <v>41293</v>
      </c>
      <c r="P53">
        <v>189</v>
      </c>
    </row>
    <row r="54" spans="15:16" ht="15" hidden="1" customHeight="1" x14ac:dyDescent="0.25">
      <c r="O54">
        <v>41302</v>
      </c>
      <c r="P54">
        <v>187</v>
      </c>
    </row>
    <row r="55" spans="15:16" ht="15" hidden="1" customHeight="1" x14ac:dyDescent="0.25">
      <c r="O55">
        <v>41311</v>
      </c>
      <c r="P55">
        <v>180</v>
      </c>
    </row>
    <row r="56" spans="15:16" ht="15" hidden="1" customHeight="1" x14ac:dyDescent="0.25">
      <c r="O56">
        <v>41320</v>
      </c>
      <c r="P56">
        <v>179</v>
      </c>
    </row>
    <row r="57" spans="15:16" ht="15" hidden="1" customHeight="1" x14ac:dyDescent="0.25">
      <c r="O57">
        <v>41329</v>
      </c>
      <c r="P57">
        <v>170</v>
      </c>
    </row>
    <row r="58" spans="15:16" ht="15" hidden="1" customHeight="1" x14ac:dyDescent="0.25">
      <c r="O58">
        <v>41338</v>
      </c>
      <c r="P58">
        <v>180</v>
      </c>
    </row>
    <row r="59" spans="15:16" ht="15" hidden="1" customHeight="1" x14ac:dyDescent="0.25">
      <c r="O59">
        <v>41347</v>
      </c>
      <c r="P59">
        <v>179</v>
      </c>
    </row>
    <row r="60" spans="15:16" ht="15" hidden="1" customHeight="1" x14ac:dyDescent="0.25">
      <c r="O60">
        <v>41356</v>
      </c>
      <c r="P60">
        <v>170</v>
      </c>
    </row>
    <row r="61" spans="15:16" ht="15" hidden="1" customHeight="1" x14ac:dyDescent="0.25">
      <c r="O61">
        <v>41365</v>
      </c>
      <c r="P61">
        <v>170</v>
      </c>
    </row>
    <row r="62" spans="15:16" ht="15" hidden="1" customHeight="1" x14ac:dyDescent="0.25">
      <c r="O62">
        <v>41374</v>
      </c>
      <c r="P62">
        <v>178</v>
      </c>
    </row>
    <row r="63" spans="15:16" ht="15" hidden="1" customHeight="1" x14ac:dyDescent="0.25">
      <c r="O63">
        <v>41383</v>
      </c>
      <c r="P63">
        <v>175</v>
      </c>
    </row>
    <row r="64" spans="15:16" ht="15" hidden="1" customHeight="1" x14ac:dyDescent="0.25">
      <c r="O64">
        <v>41392</v>
      </c>
      <c r="P64">
        <v>172</v>
      </c>
    </row>
    <row r="65" spans="15:16" ht="15" hidden="1" customHeight="1" x14ac:dyDescent="0.25">
      <c r="O65">
        <v>41401</v>
      </c>
      <c r="P65">
        <v>172</v>
      </c>
    </row>
    <row r="66" spans="15:16" ht="15" hidden="1" customHeight="1" x14ac:dyDescent="0.25">
      <c r="O66">
        <v>41410</v>
      </c>
      <c r="P66">
        <v>171</v>
      </c>
    </row>
    <row r="67" spans="15:16" ht="15" hidden="1" customHeight="1" x14ac:dyDescent="0.25">
      <c r="O67">
        <v>41419</v>
      </c>
      <c r="P67">
        <v>170</v>
      </c>
    </row>
    <row r="68" spans="15:16" ht="15" hidden="1" customHeight="1" x14ac:dyDescent="0.25">
      <c r="O68">
        <v>41428</v>
      </c>
      <c r="P68">
        <v>168</v>
      </c>
    </row>
    <row r="69" spans="15:16" ht="15" hidden="1" customHeight="1" x14ac:dyDescent="0.25">
      <c r="O69">
        <v>41437</v>
      </c>
      <c r="P69">
        <v>166</v>
      </c>
    </row>
    <row r="70" spans="15:16" ht="15" hidden="1" customHeight="1" x14ac:dyDescent="0.25">
      <c r="O70">
        <v>41446</v>
      </c>
      <c r="P70">
        <v>165</v>
      </c>
    </row>
    <row r="71" spans="15:16" ht="15" hidden="1" customHeight="1" x14ac:dyDescent="0.25"/>
    <row r="72" spans="15:16" ht="15" hidden="1" customHeight="1" x14ac:dyDescent="0.25">
      <c r="O72">
        <v>41275</v>
      </c>
      <c r="P72">
        <v>155</v>
      </c>
    </row>
    <row r="73" spans="15:16" ht="15" hidden="1" customHeight="1" x14ac:dyDescent="0.25">
      <c r="O73">
        <v>41284</v>
      </c>
      <c r="P73">
        <v>169</v>
      </c>
    </row>
    <row r="74" spans="15:16" ht="15" hidden="1" customHeight="1" x14ac:dyDescent="0.25">
      <c r="O74">
        <v>41293</v>
      </c>
      <c r="P74">
        <v>158</v>
      </c>
    </row>
    <row r="75" spans="15:16" ht="15" hidden="1" customHeight="1" x14ac:dyDescent="0.25">
      <c r="O75">
        <v>41302</v>
      </c>
      <c r="P75">
        <v>160</v>
      </c>
    </row>
    <row r="76" spans="15:16" ht="15" hidden="1" customHeight="1" x14ac:dyDescent="0.25">
      <c r="O76">
        <v>41311</v>
      </c>
      <c r="P76">
        <v>162</v>
      </c>
    </row>
    <row r="77" spans="15:16" ht="15" hidden="1" customHeight="1" x14ac:dyDescent="0.25">
      <c r="O77">
        <v>41320</v>
      </c>
      <c r="P77">
        <v>160</v>
      </c>
    </row>
    <row r="78" spans="15:16" ht="15" hidden="1" customHeight="1" x14ac:dyDescent="0.25">
      <c r="O78">
        <v>41329</v>
      </c>
      <c r="P78">
        <v>170</v>
      </c>
    </row>
    <row r="79" spans="15:16" ht="15" hidden="1" customHeight="1" x14ac:dyDescent="0.25">
      <c r="O79">
        <v>41338</v>
      </c>
      <c r="P79">
        <v>180</v>
      </c>
    </row>
    <row r="80" spans="15:16" ht="15" hidden="1" customHeight="1" x14ac:dyDescent="0.25">
      <c r="O80">
        <v>41347</v>
      </c>
      <c r="P80">
        <v>179</v>
      </c>
    </row>
    <row r="81" spans="15:16" ht="15" hidden="1" customHeight="1" x14ac:dyDescent="0.25">
      <c r="O81">
        <v>41356</v>
      </c>
      <c r="P81">
        <v>170</v>
      </c>
    </row>
    <row r="82" spans="15:16" ht="15" hidden="1" customHeight="1" x14ac:dyDescent="0.25">
      <c r="O82">
        <v>41365</v>
      </c>
      <c r="P82">
        <v>166</v>
      </c>
    </row>
    <row r="83" spans="15:16" ht="15" hidden="1" customHeight="1" x14ac:dyDescent="0.25">
      <c r="O83">
        <v>41374</v>
      </c>
      <c r="P83">
        <v>178</v>
      </c>
    </row>
    <row r="84" spans="15:16" ht="15" hidden="1" customHeight="1" x14ac:dyDescent="0.25">
      <c r="O84">
        <v>41383</v>
      </c>
      <c r="P84">
        <v>167</v>
      </c>
    </row>
    <row r="85" spans="15:16" ht="15" hidden="1" customHeight="1" x14ac:dyDescent="0.25">
      <c r="O85">
        <v>41392</v>
      </c>
      <c r="P85">
        <v>162</v>
      </c>
    </row>
    <row r="86" spans="15:16" ht="15" hidden="1" customHeight="1" x14ac:dyDescent="0.25">
      <c r="O86">
        <v>41401</v>
      </c>
      <c r="P86">
        <v>163</v>
      </c>
    </row>
    <row r="87" spans="15:16" ht="15" hidden="1" customHeight="1" x14ac:dyDescent="0.25">
      <c r="O87">
        <v>41410</v>
      </c>
      <c r="P87">
        <v>161</v>
      </c>
    </row>
    <row r="88" spans="15:16" ht="15" hidden="1" customHeight="1" x14ac:dyDescent="0.25">
      <c r="O88">
        <v>41419</v>
      </c>
      <c r="P88">
        <v>160</v>
      </c>
    </row>
    <row r="89" spans="15:16" ht="15" hidden="1" customHeight="1" x14ac:dyDescent="0.25">
      <c r="O89">
        <v>41428</v>
      </c>
      <c r="P89">
        <v>159</v>
      </c>
    </row>
    <row r="90" spans="15:16" ht="15" hidden="1" customHeight="1" x14ac:dyDescent="0.25">
      <c r="O90">
        <v>41437</v>
      </c>
      <c r="P90">
        <v>158</v>
      </c>
    </row>
    <row r="91" spans="15:16" ht="15" hidden="1" customHeight="1" x14ac:dyDescent="0.25">
      <c r="O91">
        <v>41446</v>
      </c>
      <c r="P91">
        <v>159</v>
      </c>
    </row>
    <row r="92" spans="15:16" ht="15" hidden="1" customHeight="1" x14ac:dyDescent="0.25"/>
    <row r="93" spans="15:16" ht="15" hidden="1" customHeight="1" x14ac:dyDescent="0.25">
      <c r="O93">
        <v>41275</v>
      </c>
      <c r="P93">
        <v>120</v>
      </c>
    </row>
    <row r="94" spans="15:16" ht="15" hidden="1" customHeight="1" x14ac:dyDescent="0.25">
      <c r="O94">
        <v>41284</v>
      </c>
      <c r="P94">
        <v>125</v>
      </c>
    </row>
    <row r="95" spans="15:16" ht="15" hidden="1" customHeight="1" x14ac:dyDescent="0.25">
      <c r="O95">
        <v>41293</v>
      </c>
      <c r="P95">
        <v>127</v>
      </c>
    </row>
    <row r="96" spans="15:16" ht="15" hidden="1" customHeight="1" x14ac:dyDescent="0.25">
      <c r="O96">
        <v>41302</v>
      </c>
      <c r="P96">
        <v>129</v>
      </c>
    </row>
    <row r="97" spans="15:16" ht="15" hidden="1" customHeight="1" x14ac:dyDescent="0.25">
      <c r="O97">
        <v>41311</v>
      </c>
      <c r="P97">
        <v>134</v>
      </c>
    </row>
    <row r="98" spans="15:16" ht="15" hidden="1" customHeight="1" x14ac:dyDescent="0.25">
      <c r="O98">
        <v>41320</v>
      </c>
      <c r="P98">
        <v>144</v>
      </c>
    </row>
    <row r="99" spans="15:16" ht="15" hidden="1" customHeight="1" x14ac:dyDescent="0.25">
      <c r="O99">
        <v>41329</v>
      </c>
      <c r="P99">
        <v>142</v>
      </c>
    </row>
    <row r="100" spans="15:16" ht="15" hidden="1" customHeight="1" x14ac:dyDescent="0.25">
      <c r="O100">
        <v>41338</v>
      </c>
      <c r="P100">
        <v>147</v>
      </c>
    </row>
    <row r="101" spans="15:16" ht="15" hidden="1" customHeight="1" x14ac:dyDescent="0.25">
      <c r="O101">
        <v>41347</v>
      </c>
      <c r="P101">
        <v>145</v>
      </c>
    </row>
    <row r="102" spans="15:16" ht="15" hidden="1" customHeight="1" x14ac:dyDescent="0.25">
      <c r="O102">
        <v>41356</v>
      </c>
      <c r="P102">
        <v>134</v>
      </c>
    </row>
    <row r="103" spans="15:16" ht="15" hidden="1" customHeight="1" x14ac:dyDescent="0.25">
      <c r="O103">
        <v>41365</v>
      </c>
      <c r="P103">
        <v>145</v>
      </c>
    </row>
    <row r="104" spans="15:16" ht="15" hidden="1" customHeight="1" x14ac:dyDescent="0.25">
      <c r="O104">
        <v>41374</v>
      </c>
      <c r="P104">
        <v>143</v>
      </c>
    </row>
    <row r="105" spans="15:16" ht="15" hidden="1" customHeight="1" x14ac:dyDescent="0.25">
      <c r="O105">
        <v>41383</v>
      </c>
      <c r="P105">
        <v>147</v>
      </c>
    </row>
    <row r="106" spans="15:16" ht="15" hidden="1" customHeight="1" x14ac:dyDescent="0.25">
      <c r="O106">
        <v>41392</v>
      </c>
      <c r="P106">
        <v>148</v>
      </c>
    </row>
    <row r="107" spans="15:16" ht="15" hidden="1" customHeight="1" x14ac:dyDescent="0.25">
      <c r="O107">
        <v>41401</v>
      </c>
      <c r="P107">
        <v>149</v>
      </c>
    </row>
    <row r="108" spans="15:16" ht="15" hidden="1" customHeight="1" x14ac:dyDescent="0.25">
      <c r="O108">
        <v>41410</v>
      </c>
      <c r="P108">
        <v>145</v>
      </c>
    </row>
    <row r="109" spans="15:16" ht="15" hidden="1" customHeight="1" x14ac:dyDescent="0.25">
      <c r="O109">
        <v>41419</v>
      </c>
      <c r="P109">
        <v>147</v>
      </c>
    </row>
    <row r="110" spans="15:16" ht="15" hidden="1" customHeight="1" x14ac:dyDescent="0.25">
      <c r="O110">
        <v>41428</v>
      </c>
      <c r="P110">
        <v>144</v>
      </c>
    </row>
    <row r="111" spans="15:16" ht="15" hidden="1" customHeight="1" x14ac:dyDescent="0.25">
      <c r="O111">
        <v>41437</v>
      </c>
      <c r="P111">
        <v>143</v>
      </c>
    </row>
    <row r="112" spans="15:16" ht="15" hidden="1" customHeight="1" x14ac:dyDescent="0.25">
      <c r="O112">
        <v>41446</v>
      </c>
      <c r="P112">
        <v>146</v>
      </c>
    </row>
  </sheetData>
  <sheetProtection sheet="1" objects="1" scenarios="1" selectLockedCells="1"/>
  <mergeCells count="5">
    <mergeCell ref="I1:V3"/>
    <mergeCell ref="C2:G2"/>
    <mergeCell ref="F4:G4"/>
    <mergeCell ref="I4:Q4"/>
    <mergeCell ref="R4:V4"/>
  </mergeCells>
  <conditionalFormatting sqref="G7:G26">
    <cfRule type="expression" dxfId="7" priority="2">
      <formula>ROUND(G7,1)&gt;=30</formula>
    </cfRule>
    <cfRule type="expression" dxfId="6" priority="6">
      <formula>ROUND(G7,1)&gt;=25</formula>
    </cfRule>
    <cfRule type="expression" dxfId="5" priority="7">
      <formula>ROUND(G7,1)&gt;=18.5</formula>
    </cfRule>
    <cfRule type="expression" dxfId="4" priority="8">
      <formula>ROUND(G7,1)&lt;18.5</formula>
    </cfRule>
  </conditionalFormatting>
  <conditionalFormatting sqref="H4:V4">
    <cfRule type="expression" dxfId="3" priority="5">
      <formula>ISBLANK($E$7)</formula>
    </cfRule>
  </conditionalFormatting>
  <conditionalFormatting sqref="B7:B26">
    <cfRule type="expression" dxfId="2" priority="1">
      <formula>OR($E$4=0,ISBLANK(F7))</formula>
    </cfRule>
    <cfRule type="expression" dxfId="1" priority="4">
      <formula>G7&lt;18.5</formula>
    </cfRule>
  </conditionalFormatting>
  <conditionalFormatting sqref="C8:C26">
    <cfRule type="expression" dxfId="0" priority="3">
      <formula>OR(ISBLANK(F7),ISBLANK(F8))</formula>
    </cfRule>
  </conditionalFormatting>
  <dataValidations count="8">
    <dataValidation type="list" showInputMessage="1" showErrorMessage="1" sqref="F4">
      <formula1>SavedRecords</formula1>
    </dataValidation>
    <dataValidation type="whole" allowBlank="1" showInputMessage="1" showErrorMessage="1" errorTitle="Wrong Weight!" error="Insert a number between 40 and 800 lb" promptTitle="Person's Weight" prompt="Type person's weight in pounds (range allowed between 50 and 800 lb)" sqref="F8:F26">
      <formula1>50</formula1>
      <formula2>800</formula2>
    </dataValidation>
    <dataValidation type="whole" allowBlank="1" showInputMessage="1" showErrorMessage="1" errorTitle="Wrong Weight!" error="Insert a number between 40 and 800 lb" promptTitle="First Measured Weight" prompt="Type person's height before first measured weight._x000a_Weight range allowed between 50 and 800 lb." sqref="F7">
      <formula1>50</formula1>
      <formula2>800</formula2>
    </dataValidation>
    <dataValidation allowBlank="1" showInputMessage="1" promptTitle="First meeting!" prompt="Type date using mm/dd/yy format!" sqref="E7"/>
    <dataValidation type="date" operator="greaterThanOrEqual" allowBlank="1" showInputMessage="1" showErrorMessage="1" errorTitle="Wrong Date!" error="New date must be 7 days older than last date" promptTitle="About new dates" prompt="New date must be 7 days older than last date" sqref="E8:E26">
      <formula1>E7+7</formula1>
    </dataValidation>
    <dataValidation type="whole" allowBlank="1" showInputMessage="1" showErrorMessage="1" errorTitle="Wrong Height" error="Please, type height _x000a_between 0 and 11 inches" promptTitle="Type height in inches" prompt="Range allowed between 0 and 11 inches" sqref="D4">
      <formula1>0</formula1>
      <formula2>11</formula2>
    </dataValidation>
    <dataValidation type="whole" allowBlank="1" showInputMessage="1" showErrorMessage="1" errorTitle="Wrong Height!" error="Please, type height between 3 and 7 feet" promptTitle="Type height in feet" prompt="Range allowed between 3 and 7 feet" sqref="C4">
      <formula1>3</formula1>
      <formula2>7</formula2>
    </dataValidation>
    <dataValidation type="textLength" operator="lessThanOrEqual" allowBlank="1" showInputMessage="1" showErrorMessage="1" prompt="Please, type person's name" sqref="C2">
      <formula1>40</formula1>
    </dataValidation>
  </dataValidations>
  <printOptions horizontalCentered="1" verticalCentered="1"/>
  <pageMargins left="0.3" right="0.24" top="0.17" bottom="0.33" header="0.3" footer="0.3"/>
  <pageSetup paperSize="9" scale="95" orientation="landscape" r:id="rId1"/>
  <headerFooter>
    <oddFooter>&amp;L&amp;F&amp;CBMI Companion Chart&amp;R© Flavio Morgado, 20010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SaveRecord">
                <anchor moveWithCells="1" sizeWithCells="1">
                  <from>
                    <xdr:col>8</xdr:col>
                    <xdr:colOff>114300</xdr:colOff>
                    <xdr:row>2</xdr:row>
                    <xdr:rowOff>38100</xdr:rowOff>
                  </from>
                  <to>
                    <xdr:col>12</xdr:col>
                    <xdr:colOff>323850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DeleteRecord">
                <anchor moveWithCells="1" sizeWithCells="1">
                  <from>
                    <xdr:col>12</xdr:col>
                    <xdr:colOff>390525</xdr:colOff>
                    <xdr:row>2</xdr:row>
                    <xdr:rowOff>47625</xdr:rowOff>
                  </from>
                  <to>
                    <xdr:col>13</xdr:col>
                    <xdr:colOff>266700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24" baseType="lpstr">
      <vt:lpstr>BMI Chart</vt:lpstr>
      <vt:lpstr>'BMI Chart'!CurrentRecord</vt:lpstr>
      <vt:lpstr>'BMI Chart'!dbDataValidationList</vt:lpstr>
      <vt:lpstr>'BMI Chart'!dbManySide1</vt:lpstr>
      <vt:lpstr>'BMI Chart'!dbManySide2</vt:lpstr>
      <vt:lpstr>'BMI Chart'!dbManySide3</vt:lpstr>
      <vt:lpstr>'BMI Chart'!dbManySide4</vt:lpstr>
      <vt:lpstr>'BMI Chart'!dbManySideColumnsCount</vt:lpstr>
      <vt:lpstr>'BMI Chart'!dbManySideFirstColumn</vt:lpstr>
      <vt:lpstr>'BMI Chart'!dbManySidePrefix</vt:lpstr>
      <vt:lpstr>'BMI Chart'!dbManySideRowsCount</vt:lpstr>
      <vt:lpstr>'BMI Chart'!dbOneSide</vt:lpstr>
      <vt:lpstr>'BMI Chart'!dbOneSideColumsCount</vt:lpstr>
      <vt:lpstr>'BMI Chart'!dbRangeOffset</vt:lpstr>
      <vt:lpstr>'BMI Chart'!dbRecordName</vt:lpstr>
      <vt:lpstr>'BMI Chart'!dbRecordsFirstRow</vt:lpstr>
      <vt:lpstr>'BMI Chart'!dbSavedRecords</vt:lpstr>
      <vt:lpstr>'BMI Chart'!HeightFt</vt:lpstr>
      <vt:lpstr>'BMI Chart'!HeightIn</vt:lpstr>
      <vt:lpstr>'BMI Chart'!ManySideRecords</vt:lpstr>
      <vt:lpstr>'BMI Chart'!OneSideRecord</vt:lpstr>
      <vt:lpstr>'BMI Chart'!PatientName</vt:lpstr>
      <vt:lpstr>'BMI Chart'!Print_Area</vt:lpstr>
      <vt:lpstr>'BMI Chart'!SavedRecords</vt:lpstr>
    </vt:vector>
  </TitlesOfParts>
  <Company>FM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Morgado</dc:creator>
  <cp:lastModifiedBy>Flavio Morgado</cp:lastModifiedBy>
  <dcterms:created xsi:type="dcterms:W3CDTF">2015-04-28T13:51:56Z</dcterms:created>
  <dcterms:modified xsi:type="dcterms:W3CDTF">2016-05-12T17:52:56Z</dcterms:modified>
</cp:coreProperties>
</file>